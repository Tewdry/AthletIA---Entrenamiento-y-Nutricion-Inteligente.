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<sst xmlns="http://schemas.openxmlformats.org/spreadsheetml/2006/main" count="16" uniqueCount="16">
  <si>
    <t>Día</t>
  </si>
  <si>
    <t>Fecha</t>
  </si>
  <si>
    <t>Trabajo Total</t>
  </si>
  <si>
    <t>Trabajo Restante</t>
  </si>
  <si>
    <t>% Restante</t>
  </si>
  <si>
    <t>Notas</t>
  </si>
  <si>
    <t>Día 1</t>
  </si>
  <si>
    <t>Unificación del calendario con IA + ajuste del recomendador.</t>
  </si>
  <si>
    <t>Día 2</t>
  </si>
  <si>
    <t>Mejoras profundas al modelo predictivo y parámetros.</t>
  </si>
  <si>
    <t>Día 3</t>
  </si>
  <si>
    <t>Actualizaciones en recomendador.html y perfil.</t>
  </si>
  <si>
    <t>Día 4</t>
  </si>
  <si>
    <t>Corrección de bugs + estandarización de endpoints.</t>
  </si>
  <si>
    <t>Día 5</t>
  </si>
  <si>
    <t>Dashboard consolidado + base lista para notificaciones.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</si>
</sst>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"/>
  </numFmts>
  <fonts count="3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164" xfId="0" applyAlignment="1" applyBorder="1" applyFont="1" applyNumberFormat="1">
      <alignment readingOrder="0" shrinkToFit="0" vertical="center" wrapText="1"/>
    </xf>
    <xf borderId="1" fillId="0" fontId="2" numFmtId="1" xfId="0" applyAlignment="1" applyBorder="1" applyFont="1" applyNumberForma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Progreso del Sprint 12 – % de trabajo restante diario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'Hoja 1'!$F$7:$F$11</c:f>
            </c:strRef>
          </c:cat>
          <c:val>
            <c:numRef>
              <c:f>'Hoja 1'!$J$7:$J$11</c:f>
              <c:numCache/>
            </c:numRef>
          </c:val>
          <c:smooth val="0"/>
        </c:ser>
        <c:axId val="1888054527"/>
        <c:axId val="754844537"/>
      </c:lineChart>
      <c:catAx>
        <c:axId val="18880545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Día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4844537"/>
      </c:catAx>
      <c:valAx>
        <c:axId val="7548445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% Restante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80545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933450</xdr:colOff>
      <xdr:row>12</xdr:row>
      <xdr:rowOff>190500</xdr:rowOff>
    </xdr:from>
    <xdr:ext cx="8753475" cy="41814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F6:K11" displayName="Sprint_12" name="Sprint_12" id="1">
  <tableColumns count="6">
    <tableColumn name="Día" id="1"/>
    <tableColumn name="Fecha" id="2"/>
    <tableColumn name="Trabajo Total" id="3"/>
    <tableColumn name="Trabajo Restante" id="4"/>
    <tableColumn name="% Restante" id="5"/>
    <tableColumn name="Notas" id="6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1" max="11" width="51.5"/>
  </cols>
  <sheetData>
    <row r="6" ht="22.5" customHeight="1">
      <c r="F6" s="1" t="s">
        <v>0</v>
      </c>
      <c r="G6" s="1" t="s">
        <v>1</v>
      </c>
      <c r="H6" s="1" t="s">
        <v>2</v>
      </c>
      <c r="I6" s="1" t="s">
        <v>3</v>
      </c>
      <c r="J6" s="1" t="s">
        <v>4</v>
      </c>
      <c r="K6" s="1" t="s">
        <v>5</v>
      </c>
    </row>
    <row r="7" ht="22.5" customHeight="1">
      <c r="F7" s="2" t="s">
        <v>6</v>
      </c>
      <c r="G7" s="3">
        <v>45964.0</v>
      </c>
      <c r="H7" s="2">
        <v>45.0</v>
      </c>
      <c r="I7" s="2">
        <v>38.0</v>
      </c>
      <c r="J7" s="4">
        <f>38/45*100</f>
        <v>84.44444444</v>
      </c>
      <c r="K7" s="2" t="s">
        <v>7</v>
      </c>
    </row>
    <row r="8" ht="22.5" customHeight="1">
      <c r="F8" s="2" t="s">
        <v>8</v>
      </c>
      <c r="G8" s="3">
        <v>45965.0</v>
      </c>
      <c r="H8" s="2">
        <v>45.0</v>
      </c>
      <c r="I8" s="2">
        <v>30.0</v>
      </c>
      <c r="J8" s="4">
        <f>30/45*100</f>
        <v>66.66666667</v>
      </c>
      <c r="K8" s="2" t="s">
        <v>9</v>
      </c>
    </row>
    <row r="9" ht="22.5" customHeight="1">
      <c r="F9" s="2" t="s">
        <v>10</v>
      </c>
      <c r="G9" s="3">
        <v>45966.0</v>
      </c>
      <c r="H9" s="2">
        <v>45.0</v>
      </c>
      <c r="I9" s="2">
        <v>22.0</v>
      </c>
      <c r="J9" s="4">
        <f>22/45*100</f>
        <v>48.88888889</v>
      </c>
      <c r="K9" s="2" t="s">
        <v>11</v>
      </c>
    </row>
    <row r="10" ht="22.5" customHeight="1">
      <c r="F10" s="2" t="s">
        <v>12</v>
      </c>
      <c r="G10" s="3">
        <v>45967.0</v>
      </c>
      <c r="H10" s="2">
        <v>45.0</v>
      </c>
      <c r="I10" s="2">
        <v>10.0</v>
      </c>
      <c r="J10" s="4">
        <f>10/45*100</f>
        <v>22.22222222</v>
      </c>
      <c r="K10" s="2" t="s">
        <v>13</v>
      </c>
    </row>
    <row r="11" ht="22.5" customHeight="1">
      <c r="F11" s="2" t="s">
        <v>14</v>
      </c>
      <c r="G11" s="3">
        <v>45968.0</v>
      </c>
      <c r="H11" s="2">
        <v>45.0</v>
      </c>
      <c r="I11" s="2">
        <v>0.0</v>
      </c>
      <c r="J11" s="4">
        <f>0/45*100</f>
        <v>0</v>
      </c>
      <c r="K11" s="2" t="s">
        <v>15</v>
      </c>
    </row>
  </sheetData>
  <dataValidations>
    <dataValidation type="custom" allowBlank="1" showDropDown="1" sqref="G7:G11">
      <formula1>OR(NOT(ISERROR(DATEVALUE(G7))), AND(ISNUMBER(G7), LEFT(CELL("format", G7))="D"))</formula1>
    </dataValidation>
    <dataValidation type="custom" allowBlank="1" showDropDown="1" sqref="J7:J11">
      <formula1>AND(ISNUMBER(J7),(NOT(OR(NOT(ISERROR(DATEVALUE(J7))), AND(ISNUMBER(J7), LEFT(CELL("format", J7))="D")))))</formula1>
    </dataValidation>
  </dataValidations>
  <drawing r:id="rId1"/>
  <tableParts count="1">
    <tablePart r:id="rId3"/>
  </tableParts>
</worksheet>
</file>