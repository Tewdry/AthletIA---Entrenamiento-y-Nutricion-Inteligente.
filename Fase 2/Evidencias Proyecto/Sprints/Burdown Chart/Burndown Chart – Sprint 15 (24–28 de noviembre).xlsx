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<sst xmlns="http://schemas.openxmlformats.org/spreadsheetml/2006/main" count="16" uniqueCount="16">
  <si>
    <t>Día</t>
  </si>
  <si>
    <t>Fecha</t>
  </si>
  <si>
    <t>Trabajo Total</t>
  </si>
  <si>
    <t>Trabajo Restante</t>
  </si>
  <si>
    <t>% Restante</t>
  </si>
  <si>
    <t>Notas</t>
  </si>
  <si>
    <t>Día 1</t>
  </si>
  <si>
    <t>Reorganización y limpieza de GitHub + Inicio mejoras post-feedback.</t>
  </si>
  <si>
    <t>Día 2</t>
  </si>
  <si>
    <t>Cierre mejoras sistema web + Redacción Diario Reflexión (Doc Fase 3).</t>
  </si>
  <si>
    <t>Día 3</t>
  </si>
  <si>
    <t>Término Autoevaluaciones + Reestructuración del PPT para el Examen.</t>
  </si>
  <si>
    <t>Día 4</t>
  </si>
  <si>
    <t>Finalización PPT Examen + Revisión y consolidación final documentación.</t>
  </si>
  <si>
    <t>Día 5</t>
  </si>
  <si>
    <t>Entrega de todos los entregables, repositorio listo y cierre de semestre.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</si>
</sst>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"/>
  </numFmts>
  <fonts count="4">
    <font>
      <sz val="10.0"/>
      <color rgb="FF000000"/>
      <name val="Arial"/>
      <scheme val="minor"/>
    </font>
    <font>
      <color theme="1"/>
      <name val="Arial"/>
    </font>
    <font>
      <b/>
      <sz val="11.0"/>
      <color rgb="FFFFFFFF"/>
      <name val="Roboto"/>
    </font>
    <font>
      <sz val="11.0"/>
      <color rgb="FF1F1F1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3" numFmtId="1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Restante frente a Día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'Hoja 1'!$F$9:$F$13</c:f>
            </c:strRef>
          </c:cat>
          <c:val>
            <c:numRef>
              <c:f>'Hoja 1'!$J$9:$J$13</c:f>
              <c:numCache/>
            </c:numRef>
          </c:val>
          <c:smooth val="0"/>
        </c:ser>
        <c:axId val="723825026"/>
        <c:axId val="757570644"/>
      </c:lineChart>
      <c:catAx>
        <c:axId val="7238250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7570644"/>
      </c:catAx>
      <c:valAx>
        <c:axId val="7575706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Restante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38250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</xdr:colOff>
      <xdr:row>13</xdr:row>
      <xdr:rowOff>180975</xdr:rowOff>
    </xdr:from>
    <xdr:ext cx="9582150" cy="43719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F8:K13" displayName="Sprint_15" name="Sprint_15" id="1">
  <tableColumns count="6">
    <tableColumn name="Día" id="1"/>
    <tableColumn name="Fecha" id="2"/>
    <tableColumn name="Trabajo Total" id="3"/>
    <tableColumn name="Trabajo Restante" id="4"/>
    <tableColumn name="% Restante" id="5"/>
    <tableColumn name="Notas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1" max="11" width="63.25"/>
  </cols>
  <sheetData>
    <row r="7">
      <c r="F7" s="1"/>
      <c r="G7" s="1"/>
      <c r="H7" s="1"/>
      <c r="I7" s="1"/>
      <c r="J7" s="1"/>
      <c r="K7" s="1"/>
    </row>
    <row r="8" ht="22.5" customHeight="1">
      <c r="F8" s="2" t="s">
        <v>0</v>
      </c>
      <c r="G8" s="2" t="s">
        <v>1</v>
      </c>
      <c r="H8" s="2" t="s">
        <v>2</v>
      </c>
      <c r="I8" s="2" t="s">
        <v>3</v>
      </c>
      <c r="J8" s="2" t="s">
        <v>4</v>
      </c>
      <c r="K8" s="2" t="s">
        <v>5</v>
      </c>
    </row>
    <row r="9" ht="22.5" customHeight="1">
      <c r="F9" s="3" t="s">
        <v>6</v>
      </c>
      <c r="G9" s="4">
        <v>45985.0</v>
      </c>
      <c r="H9" s="3">
        <v>38.0</v>
      </c>
      <c r="I9" s="3">
        <v>30.0</v>
      </c>
      <c r="J9" s="5">
        <f>30/38*100</f>
        <v>78.94736842</v>
      </c>
      <c r="K9" s="3" t="s">
        <v>7</v>
      </c>
    </row>
    <row r="10" ht="22.5" customHeight="1">
      <c r="F10" s="3" t="s">
        <v>8</v>
      </c>
      <c r="G10" s="4">
        <v>45986.0</v>
      </c>
      <c r="H10" s="3">
        <v>38.0</v>
      </c>
      <c r="I10" s="3">
        <v>20.0</v>
      </c>
      <c r="J10" s="5">
        <f>20/38*100</f>
        <v>52.63157895</v>
      </c>
      <c r="K10" s="3" t="s">
        <v>9</v>
      </c>
    </row>
    <row r="11" ht="22.5" customHeight="1">
      <c r="F11" s="3" t="s">
        <v>10</v>
      </c>
      <c r="G11" s="4">
        <v>45987.0</v>
      </c>
      <c r="H11" s="3">
        <v>38.0</v>
      </c>
      <c r="I11" s="3">
        <v>10.0</v>
      </c>
      <c r="J11" s="5">
        <f>10/38*100</f>
        <v>26.31578947</v>
      </c>
      <c r="K11" s="3" t="s">
        <v>11</v>
      </c>
    </row>
    <row r="12" ht="22.5" customHeight="1">
      <c r="F12" s="3" t="s">
        <v>12</v>
      </c>
      <c r="G12" s="4">
        <v>45988.0</v>
      </c>
      <c r="H12" s="3">
        <v>38.0</v>
      </c>
      <c r="I12" s="3">
        <v>3.0</v>
      </c>
      <c r="J12" s="5">
        <f>3/38*100</f>
        <v>7.894736842</v>
      </c>
      <c r="K12" s="3" t="s">
        <v>13</v>
      </c>
    </row>
    <row r="13" ht="22.5" customHeight="1">
      <c r="F13" s="3" t="s">
        <v>14</v>
      </c>
      <c r="G13" s="4">
        <v>45989.0</v>
      </c>
      <c r="H13" s="3">
        <v>38.0</v>
      </c>
      <c r="I13" s="3">
        <v>0.0</v>
      </c>
      <c r="J13" s="5">
        <f>0/38*100</f>
        <v>0</v>
      </c>
      <c r="K13" s="3" t="s">
        <v>15</v>
      </c>
    </row>
  </sheetData>
  <dataValidations>
    <dataValidation type="custom" allowBlank="1" showDropDown="1" sqref="G9:G13">
      <formula1>OR(NOT(ISERROR(DATEVALUE(G9))), AND(ISNUMBER(G9), LEFT(CELL("format", G9))="D"))</formula1>
    </dataValidation>
    <dataValidation type="custom" allowBlank="1" showDropDown="1" sqref="J9:J13">
      <formula1>AND(ISNUMBER(J9),(NOT(OR(NOT(ISERROR(DATEVALUE(J9))), AND(ISNUMBER(J9), LEFT(CELL("format", J9))="D")))))</formula1>
    </dataValidation>
  </dataValidations>
  <drawing r:id="rId1"/>
  <tableParts count="1">
    <tablePart r:id="rId3"/>
  </tableParts>
</worksheet>
</file>