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<sst xmlns="http://schemas.openxmlformats.org/spreadsheetml/2006/main" count="16" uniqueCount="16">
  <si>
    <t>Día</t>
  </si>
  <si>
    <t>Fecha</t>
  </si>
  <si>
    <t>Trabajo Total</t>
  </si>
  <si>
    <t>Trabajo Restante</t>
  </si>
  <si>
    <t>% Restante</t>
  </si>
  <si>
    <t>Notas</t>
  </si>
  <si>
    <t>Día 1</t>
  </si>
  <si>
    <t>Tablas GrupoEntrenamiento/Miembro (BD) + Validaciones Calendario.</t>
  </si>
  <si>
    <t>Día 2</t>
  </si>
  <si>
    <t>Chat dinámico + Rutinas manuales (flujo e integración calendario).</t>
  </si>
  <si>
    <t>Día 3</t>
  </si>
  <si>
    <t>Diseño UX final (coherencia), Front Registro/Login y Panel Admin.</t>
  </si>
  <si>
    <t>Día 4</t>
  </si>
  <si>
    <t>Arreglo de imágenes, PPT Fase 2 y Documentación final.</t>
  </si>
  <si>
    <t>Día 5</t>
  </si>
  <si>
    <t>Presentación a profesora y recepción de feedback.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</si>
</sst>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"/>
  </numFmts>
  <fonts count="4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Roboto"/>
    </font>
    <font>
      <sz val="11.0"/>
      <color theme="1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164" xfId="0" applyAlignment="1" applyBorder="1" applyFont="1" applyNumberFormat="1">
      <alignment horizontal="center" shrinkToFit="0" vertical="center" wrapText="1"/>
    </xf>
    <xf borderId="1" fillId="0" fontId="3" numFmtId="1" xfId="0" applyAlignment="1" applyBorder="1" applyFont="1" applyNumberFormat="1">
      <alignment horizontal="center" readingOrder="0" shrinkToFit="0" vertical="center" wrapText="1"/>
    </xf>
    <xf borderId="1" fillId="0" fontId="3" numFmtId="1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Restante frente a Día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'Hoja 1'!$G$8:$G$12</c:f>
            </c:strRef>
          </c:cat>
          <c:val>
            <c:numRef>
              <c:f>'Hoja 1'!$J$8:$J$12</c:f>
              <c:numCache/>
            </c:numRef>
          </c:val>
          <c:smooth val="0"/>
        </c:ser>
        <c:axId val="1989784491"/>
        <c:axId val="1650289657"/>
      </c:lineChart>
      <c:catAx>
        <c:axId val="19897844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0289657"/>
      </c:catAx>
      <c:valAx>
        <c:axId val="16502896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Trabajo Restante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97844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12</xdr:row>
      <xdr:rowOff>161925</xdr:rowOff>
    </xdr:from>
    <xdr:ext cx="10791825" cy="47910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G7:L12" displayName="Sprint_14" name="Sprint_14" id="1">
  <tableColumns count="6">
    <tableColumn name="Día" id="1"/>
    <tableColumn name="Fecha" id="2"/>
    <tableColumn name="Trabajo Total" id="3"/>
    <tableColumn name="Trabajo Restante" id="4"/>
    <tableColumn name="% Restante" id="5"/>
    <tableColumn name="Notas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9" max="9" width="16.25"/>
    <col customWidth="1" min="10" max="10" width="19.5"/>
    <col customWidth="1" min="11" max="11" width="17.88"/>
    <col customWidth="1" min="12" max="12" width="62.75"/>
  </cols>
  <sheetData>
    <row r="6">
      <c r="F6" s="1"/>
      <c r="G6" s="1"/>
      <c r="H6" s="1"/>
      <c r="I6" s="1"/>
      <c r="J6" s="1"/>
      <c r="K6" s="1"/>
      <c r="L6" s="1"/>
    </row>
    <row r="7" ht="23.25" customHeight="1">
      <c r="F7" s="1"/>
      <c r="G7" s="2" t="s">
        <v>0</v>
      </c>
      <c r="H7" s="2" t="s">
        <v>1</v>
      </c>
      <c r="I7" s="2" t="s">
        <v>2</v>
      </c>
      <c r="J7" s="2" t="s">
        <v>3</v>
      </c>
      <c r="K7" s="2" t="s">
        <v>4</v>
      </c>
      <c r="L7" s="2" t="s">
        <v>5</v>
      </c>
    </row>
    <row r="8" ht="22.5" customHeight="1">
      <c r="F8" s="1"/>
      <c r="G8" s="3" t="s">
        <v>6</v>
      </c>
      <c r="H8" s="4">
        <v>45978.0</v>
      </c>
      <c r="I8" s="3">
        <v>45.0</v>
      </c>
      <c r="J8" s="3">
        <v>36.0</v>
      </c>
      <c r="K8" s="5">
        <f>36/45*100</f>
        <v>80</v>
      </c>
      <c r="L8" s="3" t="s">
        <v>7</v>
      </c>
    </row>
    <row r="9" ht="22.5" customHeight="1">
      <c r="F9" s="1"/>
      <c r="G9" s="3" t="s">
        <v>8</v>
      </c>
      <c r="H9" s="4">
        <v>45979.0</v>
      </c>
      <c r="I9" s="3">
        <v>45.0</v>
      </c>
      <c r="J9" s="3">
        <v>25.0</v>
      </c>
      <c r="K9" s="6">
        <f>25/45*100</f>
        <v>55.55555556</v>
      </c>
      <c r="L9" s="3" t="s">
        <v>9</v>
      </c>
    </row>
    <row r="10" ht="22.5" customHeight="1">
      <c r="F10" s="1"/>
      <c r="G10" s="3" t="s">
        <v>10</v>
      </c>
      <c r="H10" s="4">
        <v>45980.0</v>
      </c>
      <c r="I10" s="3">
        <v>45.0</v>
      </c>
      <c r="J10" s="3">
        <v>14.0</v>
      </c>
      <c r="K10" s="6">
        <f>14/45*100</f>
        <v>31.11111111</v>
      </c>
      <c r="L10" s="3" t="s">
        <v>11</v>
      </c>
    </row>
    <row r="11" ht="22.5" customHeight="1">
      <c r="F11" s="1"/>
      <c r="G11" s="3" t="s">
        <v>12</v>
      </c>
      <c r="H11" s="4">
        <v>45981.0</v>
      </c>
      <c r="I11" s="3">
        <v>45.0</v>
      </c>
      <c r="J11" s="3">
        <v>4.0</v>
      </c>
      <c r="K11" s="6">
        <f>4/45*100</f>
        <v>8.888888889</v>
      </c>
      <c r="L11" s="3" t="s">
        <v>13</v>
      </c>
    </row>
    <row r="12" ht="22.5" customHeight="1">
      <c r="F12" s="1"/>
      <c r="G12" s="3" t="s">
        <v>14</v>
      </c>
      <c r="H12" s="4">
        <v>45982.0</v>
      </c>
      <c r="I12" s="3">
        <v>45.0</v>
      </c>
      <c r="J12" s="3">
        <v>0.0</v>
      </c>
      <c r="K12" s="6">
        <f>0/45*100</f>
        <v>0</v>
      </c>
      <c r="L12" s="3" t="s">
        <v>15</v>
      </c>
    </row>
  </sheetData>
  <dataValidations>
    <dataValidation type="custom" allowBlank="1" showDropDown="1" sqref="H8:H12">
      <formula1>OR(NOT(ISERROR(DATEVALUE(H8))), AND(ISNUMBER(H8), LEFT(CELL("format", H8))="D"))</formula1>
    </dataValidation>
    <dataValidation type="custom" allowBlank="1" showDropDown="1" sqref="K8:K12">
      <formula1>AND(ISNUMBER(K8),(NOT(OR(NOT(ISERROR(DATEVALUE(K8))), AND(ISNUMBER(K8), LEFT(CELL("format", K8))="D")))))</formula1>
    </dataValidation>
  </dataValidations>
  <drawing r:id="rId1"/>
  <tableParts count="1">
    <tablePart r:id="rId3"/>
  </tableParts>
</worksheet>
</file>