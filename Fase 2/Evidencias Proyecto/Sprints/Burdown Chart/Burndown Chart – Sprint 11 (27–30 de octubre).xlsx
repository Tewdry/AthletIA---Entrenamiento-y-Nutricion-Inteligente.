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<sst xmlns="http://schemas.openxmlformats.org/spreadsheetml/2006/main" count="14" uniqueCount="14">
  <si>
    <t>Día</t>
  </si>
  <si>
    <t>Fecha</t>
  </si>
  <si>
    <t>Trabajo Total</t>
  </si>
  <si>
    <t>Trabajo Restante</t>
  </si>
  <si>
    <t>% Restante</t>
  </si>
  <si>
    <t>Notas</t>
  </si>
  <si>
    <t>Día 1</t>
  </si>
  <si>
    <t>Ajustes al modelo predictivo + ampliación de dataset.</t>
  </si>
  <si>
    <t>Día 2</t>
  </si>
  <si>
    <t>Modelo predictivo alcanza operatividad del 80%.</t>
  </si>
  <si>
    <t>Día 3</t>
  </si>
  <si>
    <t>Creación del apartado calendario + vinculación IA inicial.</t>
  </si>
  <si>
    <t>Día 4</t>
  </si>
  <si>
    <t>Recomendador mejorado y sprint cerrado exitosamente.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</si>
</sst>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1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Progreso del Sprint 11 – % de trabajo restante diario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1'!$F$7:$F$10</c:f>
            </c:strRef>
          </c:cat>
          <c:val>
            <c:numRef>
              <c:f>'Hoja 1'!$J$7:$J$10</c:f>
              <c:numCache/>
            </c:numRef>
          </c:val>
          <c:smooth val="0"/>
        </c:ser>
        <c:axId val="831154348"/>
        <c:axId val="1987892757"/>
      </c:lineChart>
      <c:catAx>
        <c:axId val="831154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892757"/>
      </c:catAx>
      <c:valAx>
        <c:axId val="1987892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154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11</xdr:row>
      <xdr:rowOff>180975</xdr:rowOff>
    </xdr:from>
    <xdr:ext cx="8677275" cy="4000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6:K10" displayName="Sprint_11" name="Sprint_11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1" max="11" width="50.63"/>
  </cols>
  <sheetData>
    <row r="6" ht="22.5" customHeight="1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</row>
    <row r="7" ht="22.5" customHeight="1">
      <c r="F7" s="2" t="s">
        <v>6</v>
      </c>
      <c r="G7" s="3">
        <v>45957.0</v>
      </c>
      <c r="H7" s="2">
        <v>38.0</v>
      </c>
      <c r="I7" s="2">
        <v>33.0</v>
      </c>
      <c r="J7" s="4">
        <f>33/38*100</f>
        <v>86.84210526</v>
      </c>
      <c r="K7" s="2" t="s">
        <v>7</v>
      </c>
    </row>
    <row r="8" ht="22.5" customHeight="1">
      <c r="F8" s="2" t="s">
        <v>8</v>
      </c>
      <c r="G8" s="3">
        <v>45958.0</v>
      </c>
      <c r="H8" s="2">
        <v>38.0</v>
      </c>
      <c r="I8" s="2">
        <v>25.0</v>
      </c>
      <c r="J8" s="4">
        <f>25/38*100</f>
        <v>65.78947368</v>
      </c>
      <c r="K8" s="2" t="s">
        <v>9</v>
      </c>
    </row>
    <row r="9" ht="22.5" customHeight="1">
      <c r="F9" s="2" t="s">
        <v>10</v>
      </c>
      <c r="G9" s="3">
        <v>45959.0</v>
      </c>
      <c r="H9" s="2">
        <v>38.0</v>
      </c>
      <c r="I9" s="2">
        <v>10.0</v>
      </c>
      <c r="J9" s="4">
        <f>10/38*100</f>
        <v>26.31578947</v>
      </c>
      <c r="K9" s="2" t="s">
        <v>11</v>
      </c>
    </row>
    <row r="10" ht="22.5" customHeight="1">
      <c r="F10" s="2" t="s">
        <v>12</v>
      </c>
      <c r="G10" s="3">
        <v>45960.0</v>
      </c>
      <c r="H10" s="2">
        <v>38.0</v>
      </c>
      <c r="I10" s="2">
        <v>0.0</v>
      </c>
      <c r="J10" s="4">
        <f>0/38*100</f>
        <v>0</v>
      </c>
      <c r="K10" s="2" t="s">
        <v>13</v>
      </c>
    </row>
  </sheetData>
  <dataValidations>
    <dataValidation type="custom" allowBlank="1" showDropDown="1" sqref="G7:G10">
      <formula1>OR(NOT(ISERROR(DATEVALUE(G7))), AND(ISNUMBER(G7), LEFT(CELL("format", G7))="D"))</formula1>
    </dataValidation>
    <dataValidation type="custom" allowBlank="1" showDropDown="1" sqref="J7:J10">
      <formula1>AND(ISNUMBER(J7),(NOT(OR(NOT(ISERROR(DATEVALUE(J7))), AND(ISNUMBER(J7), LEFT(CELL("format", J7))="D")))))</formula1>
    </dataValidation>
  </dataValidations>
  <drawing r:id="rId1"/>
  <tableParts count="1">
    <tablePart r:id="rId3"/>
  </tableParts>
</worksheet>
</file>