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<sst xmlns="http://schemas.openxmlformats.org/spreadsheetml/2006/main" count="16" uniqueCount="16">
  <si>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</si>
  <si>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</si>
  <si>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</si>
  <si>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</si>
  <si>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</si>
  <si>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</si>
  <si>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</si>
  <si>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Implementación del sistema de notificaciones (backend).</t>
  </si>
  <si>
    <t>Día 2</t>
  </si>
  <si>
    <t>Refinamiento del dashboard + validaciones.</t>
  </si>
  <si>
    <t>Día 3</t>
  </si>
  <si>
    <t>Avances de mensajería privada + mejoras UI/UX.</t>
  </si>
  <si>
    <t>Día 4</t>
  </si>
  <si>
    <t>Integración de rutinas guardadas + ajustes de endpoints.</t>
  </si>
  <si>
    <t>Día 5</t>
  </si>
  <si>
    <t>Presentación documentación y orden general viernes 14.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</si>
</sst>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Restante frente a Día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1'!$F$7:$F$11</c:f>
            </c:strRef>
          </c:cat>
          <c:val>
            <c:numRef>
              <c:f>'Hoja 1'!$J$7:$J$11</c:f>
              <c:numCache/>
            </c:numRef>
          </c:val>
          <c:smooth val="0"/>
        </c:ser>
        <c:axId val="1645947866"/>
        <c:axId val="741760966"/>
      </c:lineChart>
      <c:catAx>
        <c:axId val="1645947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760966"/>
      </c:catAx>
      <c:valAx>
        <c:axId val="741760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947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</xdr:row>
      <xdr:rowOff>190500</xdr:rowOff>
    </xdr:from>
    <xdr:ext cx="8629650" cy="4200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1" displayName="Sprint_13" name="Sprint_13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1" max="11" width="50.38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3">
        <v>45971.0</v>
      </c>
      <c r="H7" s="2">
        <v>42.0</v>
      </c>
      <c r="I7" s="2">
        <v>36.0</v>
      </c>
      <c r="J7" s="4">
        <f>36/42*100</f>
        <v>85.71428571</v>
      </c>
      <c r="K7" s="2" t="s">
        <v>7</v>
      </c>
    </row>
    <row r="8" ht="22.5" customHeight="1">
      <c r="F8" s="2" t="s">
        <v>8</v>
      </c>
      <c r="G8" s="3">
        <v>45972.0</v>
      </c>
      <c r="H8" s="2">
        <v>42.0</v>
      </c>
      <c r="I8" s="2">
        <v>30.0</v>
      </c>
      <c r="J8" s="4">
        <f>30/42*100</f>
        <v>71.42857143</v>
      </c>
      <c r="K8" s="2" t="s">
        <v>9</v>
      </c>
    </row>
    <row r="9" ht="22.5" customHeight="1">
      <c r="F9" s="2" t="s">
        <v>10</v>
      </c>
      <c r="G9" s="3">
        <v>45973.0</v>
      </c>
      <c r="H9" s="2">
        <v>42.0</v>
      </c>
      <c r="I9" s="2">
        <v>20.0</v>
      </c>
      <c r="J9" s="4">
        <f>20/42*100</f>
        <v>47.61904762</v>
      </c>
      <c r="K9" s="2" t="s">
        <v>11</v>
      </c>
    </row>
    <row r="10" ht="22.5" customHeight="1">
      <c r="F10" s="2" t="s">
        <v>12</v>
      </c>
      <c r="G10" s="3">
        <v>45974.0</v>
      </c>
      <c r="H10" s="2">
        <v>42.0</v>
      </c>
      <c r="I10" s="2">
        <v>10.0</v>
      </c>
      <c r="J10" s="4">
        <f>10/42*100</f>
        <v>23.80952381</v>
      </c>
      <c r="K10" s="2" t="s">
        <v>13</v>
      </c>
    </row>
    <row r="11" ht="22.5" customHeight="1">
      <c r="F11" s="2" t="s">
        <v>14</v>
      </c>
      <c r="G11" s="3">
        <v>45975.0</v>
      </c>
      <c r="H11" s="2">
        <v>42.0</v>
      </c>
      <c r="I11" s="2">
        <v>0.0</v>
      </c>
      <c r="J11" s="4">
        <f>0/42*100</f>
        <v>0</v>
      </c>
      <c r="K11" s="2" t="s">
        <v>15</v>
      </c>
    </row>
  </sheetData>
  <dataValidations>
    <dataValidation type="custom" allowBlank="1" showDropDown="1" sqref="G7:G11">
      <formula1>OR(NOT(ISERROR(DATEVALUE(G7))), AND(ISNUMBER(G7), LEFT(CELL("format", G7))="D"))</formula1>
    </dataValidation>
    <dataValidation type="custom" allowBlank="1" showDropDown="1" sqref="J7:J11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